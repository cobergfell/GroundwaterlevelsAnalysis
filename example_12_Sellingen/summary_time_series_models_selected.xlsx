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.Obergfell\Desktop\TSA\GroundwaterLevelsAnalysis_14-9-2026\example_12_Sellingen\"/>
    </mc:Choice>
  </mc:AlternateContent>
  <xr:revisionPtr revIDLastSave="0" documentId="13_ncr:1_{859C888B-5CE9-4CF4-B2A8-4959DADF3037}" xr6:coauthVersionLast="47" xr6:coauthVersionMax="47" xr10:uidLastSave="{00000000-0000-0000-0000-000000000000}"/>
  <bookViews>
    <workbookView xWindow="2688" yWindow="960" windowWidth="19044" windowHeight="12036" xr2:uid="{C49A8BA4-50B8-4621-AD0C-35DCD92683CF}"/>
  </bookViews>
  <sheets>
    <sheet name="summary_time_series_models" sheetId="2" r:id="rId1"/>
    <sheet name="Blad1" sheetId="1" r:id="rId2"/>
  </sheets>
  <definedNames>
    <definedName name="ExternalData_1" localSheetId="0" hidden="1">summary_time_series_models!$A$1:$I$33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8" i="2" l="1"/>
  <c r="K18" i="2"/>
  <c r="J18" i="2"/>
  <c r="L17" i="2"/>
  <c r="K17" i="2"/>
  <c r="J17" i="2"/>
  <c r="L16" i="2"/>
  <c r="K16" i="2"/>
  <c r="J16" i="2"/>
  <c r="L15" i="2"/>
  <c r="K15" i="2"/>
  <c r="J15" i="2"/>
  <c r="L14" i="2"/>
  <c r="K14" i="2"/>
  <c r="J14" i="2"/>
  <c r="L13" i="2"/>
  <c r="K13" i="2"/>
  <c r="J13" i="2"/>
  <c r="L12" i="2"/>
  <c r="K12" i="2"/>
  <c r="J12" i="2"/>
  <c r="L11" i="2"/>
  <c r="K11" i="2"/>
  <c r="J11" i="2"/>
  <c r="L10" i="2"/>
  <c r="K10" i="2"/>
  <c r="J10" i="2"/>
  <c r="L9" i="2"/>
  <c r="K9" i="2"/>
  <c r="J9" i="2"/>
  <c r="L8" i="2"/>
  <c r="K8" i="2"/>
  <c r="J8" i="2"/>
  <c r="L7" i="2"/>
  <c r="K7" i="2"/>
  <c r="J7" i="2"/>
  <c r="L6" i="2"/>
  <c r="K6" i="2"/>
  <c r="J6" i="2"/>
  <c r="L5" i="2"/>
  <c r="K5" i="2"/>
  <c r="J5" i="2"/>
  <c r="L4" i="2"/>
  <c r="K4" i="2"/>
  <c r="J4" i="2"/>
  <c r="L3" i="2"/>
  <c r="K3" i="2"/>
  <c r="J3" i="2"/>
  <c r="L2" i="2"/>
  <c r="K2" i="2"/>
  <c r="J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CFC4EF-0063-4599-802B-591B893083B6}" keepAlive="1" name="Query - summary_time_series_models" description="Verbinding maken met de query summary_time_series_models in de werkmap." type="5" refreshedVersion="8" background="1" saveData="1">
    <dbPr connection="Provider=Microsoft.Mashup.OleDb.1;Data Source=$Workbook$;Location=summary_time_series_models;Extended Properties=&quot;&quot;" command="SELECT * FROM [summary_time_series_models]"/>
  </connection>
</connections>
</file>

<file path=xl/sharedStrings.xml><?xml version="1.0" encoding="utf-8"?>
<sst xmlns="http://schemas.openxmlformats.org/spreadsheetml/2006/main" count="29" uniqueCount="29">
  <si>
    <t>name</t>
  </si>
  <si>
    <t>X</t>
  </si>
  <si>
    <t>Y</t>
  </si>
  <si>
    <t>Z</t>
  </si>
  <si>
    <t>Surface</t>
  </si>
  <si>
    <t>Expvar</t>
  </si>
  <si>
    <t>B13D0137-01</t>
  </si>
  <si>
    <t>B13D0138-01</t>
  </si>
  <si>
    <t>B13D0165-01</t>
  </si>
  <si>
    <t>B13D0166-01</t>
  </si>
  <si>
    <t>B13D0167-01</t>
  </si>
  <si>
    <t>B13D0168-02</t>
  </si>
  <si>
    <t>B13D0169-01</t>
  </si>
  <si>
    <t>B13D0169-02</t>
  </si>
  <si>
    <t>B13D0170-01</t>
  </si>
  <si>
    <t>B13D0170-02</t>
  </si>
  <si>
    <t>B13D0185-01</t>
  </si>
  <si>
    <t>B13D0206-01</t>
  </si>
  <si>
    <t>B13D1018-01</t>
  </si>
  <si>
    <t>B13D1073-01</t>
  </si>
  <si>
    <t>B13D1074-01</t>
  </si>
  <si>
    <t>B13D1075-01</t>
  </si>
  <si>
    <t>B13D1076-01</t>
  </si>
  <si>
    <t>GLG_NAP</t>
  </si>
  <si>
    <t>GG_NAP</t>
  </si>
  <si>
    <t>GHG_NAP</t>
  </si>
  <si>
    <t>GLG_mv</t>
  </si>
  <si>
    <t>GG_mv</t>
  </si>
  <si>
    <t>GHG_mv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</si>
</sst>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Standa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510784-F81D-4714-A7B6-6D1D0C1CF1CA}" autoFormatId="16" applyNumberFormats="0" applyBorderFormats="0" applyFontFormats="0" applyPatternFormats="0" applyAlignmentFormats="0" applyWidthHeightFormats="0">
  <queryTableRefresh nextId="14" unboundColumnsRight="3">
    <queryTableFields count="12">
      <queryTableField id="1" name="name" tableColumnId="1"/>
      <queryTableField id="2" name="X" tableColumnId="2"/>
      <queryTableField id="3" name="Y" tableColumnId="3"/>
      <queryTableField id="4" name="Z" tableColumnId="4"/>
      <queryTableField id="5" name="Surface" tableColumnId="5"/>
      <queryTableField id="6" name="level" tableColumnId="6"/>
      <queryTableField id="7" name="GLG" tableColumnId="7"/>
      <queryTableField id="8" name="GG" tableColumnId="8"/>
      <queryTableField id="9" name="GHG" tableColumnId="9"/>
      <queryTableField id="11" dataBound="0" tableColumnId="11"/>
      <queryTableField id="12" dataBound="0" tableColumnId="12"/>
      <queryTableField id="13" dataBound="0" tableColumnId="13"/>
    </queryTableFields>
    <queryTableDeletedFields count="1">
      <deletedField name="Expva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F56CFC-D01A-4F37-917A-DE799FE09A9C}" name="summary_time_series_models" displayName="summary_time_series_models" ref="A1:L33" tableType="queryTable" totalsRowShown="0">
  <autoFilter ref="A1:L33" xr:uid="{54F56CFC-D01A-4F37-917A-DE799FE09A9C}"/>
  <sortState xmlns:xlrd2="http://schemas.microsoft.com/office/spreadsheetml/2017/richdata2" ref="A2:I33">
    <sortCondition descending="1" ref="I2:I33"/>
  </sortState>
  <tableColumns count="12">
    <tableColumn id="1" xr3:uid="{5D5A00DC-06D1-440D-B0C8-938F9A0CE9C9}" uniqueName="1" name="name" queryTableFieldId="1" dataDxfId="0"/>
    <tableColumn id="2" xr3:uid="{4AB15C24-92A3-4F79-9723-5CE8A2F91864}" uniqueName="2" name="X" queryTableFieldId="2"/>
    <tableColumn id="3" xr3:uid="{890242ED-8D36-4202-9EB0-8EF0C4EF2CF8}" uniqueName="3" name="Y" queryTableFieldId="3"/>
    <tableColumn id="4" xr3:uid="{D485785A-97D7-4FCF-A7FF-34620959C6EC}" uniqueName="4" name="Z" queryTableFieldId="4"/>
    <tableColumn id="5" xr3:uid="{D03925A9-6E75-4F58-B855-57EB8400B6BE}" uniqueName="5" name="Surface" queryTableFieldId="5"/>
    <tableColumn id="6" xr3:uid="{B05A6F88-04FC-40F1-B061-79B15CAC8A54}" uniqueName="6" name="GLG_NAP" queryTableFieldId="6"/>
    <tableColumn id="7" xr3:uid="{02E5588D-6D21-4F43-90F7-29F1BF864265}" uniqueName="7" name="GG_NAP" queryTableFieldId="7"/>
    <tableColumn id="8" xr3:uid="{A1E22392-E3D3-4FE5-8EDA-5B099F7314CF}" uniqueName="8" name="GHG_NAP" queryTableFieldId="8"/>
    <tableColumn id="9" xr3:uid="{AA5A4E65-A992-47FA-8E85-ACBE1E86460A}" uniqueName="9" name="Expvar" queryTableFieldId="9"/>
    <tableColumn id="11" xr3:uid="{FA937A0F-E0EB-43CC-8A05-F958E0D3A5D5}" uniqueName="11" name="GLG_mv" queryTableFieldId="11"/>
    <tableColumn id="12" xr3:uid="{E7C4A157-8500-4D73-8B3C-E87437030345}" uniqueName="12" name="GG_mv" queryTableFieldId="12"/>
    <tableColumn id="13" xr3:uid="{DB308457-0ECD-4EC1-9B63-6EC9FD47992E}" uniqueName="13" name="GHG_mv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F39F9-E90C-4F5B-A134-6D54C18709FF}">
  <dimension ref="A1:L33"/>
  <sheetViews>
    <sheetView tabSelected="1" workbookViewId="0">
      <selection activeCell="L19" sqref="L19"/>
    </sheetView>
  </sheetViews>
  <sheetFormatPr defaultRowHeight="14.4" x14ac:dyDescent="0.3"/>
  <cols>
    <col min="1" max="1" width="14" customWidth="1"/>
    <col min="2" max="3" width="7" bestFit="1" customWidth="1"/>
    <col min="4" max="4" width="7.6640625" bestFit="1" customWidth="1"/>
    <col min="5" max="5" width="9.5546875" bestFit="1" customWidth="1"/>
    <col min="6" max="6" width="7.21875" bestFit="1" customWidth="1"/>
    <col min="7" max="7" width="6.77734375" bestFit="1" customWidth="1"/>
    <col min="8" max="8" width="5.88671875" bestFit="1" customWidth="1"/>
    <col min="9" max="9" width="7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  <c r="G1" t="s">
        <v>24</v>
      </c>
      <c r="H1" t="s">
        <v>25</v>
      </c>
      <c r="I1" t="s">
        <v>5</v>
      </c>
      <c r="J1" t="s">
        <v>26</v>
      </c>
      <c r="K1" t="s">
        <v>27</v>
      </c>
      <c r="L1" t="s">
        <v>28</v>
      </c>
    </row>
    <row r="2" spans="1:12" x14ac:dyDescent="0.3">
      <c r="A2" s="1" t="s">
        <v>22</v>
      </c>
      <c r="B2">
        <v>273515</v>
      </c>
      <c r="C2">
        <v>552244</v>
      </c>
      <c r="D2" s="2">
        <v>5.55</v>
      </c>
      <c r="E2" s="2">
        <v>9</v>
      </c>
      <c r="F2" s="2">
        <v>6.21</v>
      </c>
      <c r="G2" s="2">
        <v>6.55</v>
      </c>
      <c r="H2" s="2">
        <v>7.01</v>
      </c>
      <c r="I2" s="2">
        <v>89.84</v>
      </c>
      <c r="J2" s="2">
        <f>summary_time_series_models[[#This Row],[Surface]]-summary_time_series_models[[#This Row],[GLG_NAP]]</f>
        <v>2.79</v>
      </c>
      <c r="K2" s="2">
        <f>summary_time_series_models[[#This Row],[Surface]]-summary_time_series_models[[#This Row],[GG_NAP]]</f>
        <v>2.4500000000000002</v>
      </c>
      <c r="L2" s="2">
        <f>summary_time_series_models[[#This Row],[Surface]]-summary_time_series_models[[#This Row],[GHG_NAP]]</f>
        <v>1.9900000000000002</v>
      </c>
    </row>
    <row r="3" spans="1:12" x14ac:dyDescent="0.3">
      <c r="A3" s="1" t="s">
        <v>21</v>
      </c>
      <c r="B3">
        <v>273088</v>
      </c>
      <c r="C3">
        <v>552251</v>
      </c>
      <c r="D3" s="2">
        <v>5.45</v>
      </c>
      <c r="E3" s="2">
        <v>7.85</v>
      </c>
      <c r="F3" s="2">
        <v>5.96</v>
      </c>
      <c r="G3" s="2">
        <v>6.25</v>
      </c>
      <c r="H3" s="2">
        <v>6.7</v>
      </c>
      <c r="I3" s="2">
        <v>85.14</v>
      </c>
      <c r="J3" s="2">
        <f>summary_time_series_models[[#This Row],[Surface]]-summary_time_series_models[[#This Row],[GLG_NAP]]</f>
        <v>1.8899999999999997</v>
      </c>
      <c r="K3" s="2">
        <f>summary_time_series_models[[#This Row],[Surface]]-summary_time_series_models[[#This Row],[GG_NAP]]</f>
        <v>1.5999999999999996</v>
      </c>
      <c r="L3" s="2">
        <f>summary_time_series_models[[#This Row],[Surface]]-summary_time_series_models[[#This Row],[GHG_NAP]]</f>
        <v>1.1499999999999995</v>
      </c>
    </row>
    <row r="4" spans="1:12" x14ac:dyDescent="0.3">
      <c r="A4" s="1" t="s">
        <v>20</v>
      </c>
      <c r="B4">
        <v>273796</v>
      </c>
      <c r="C4">
        <v>552329</v>
      </c>
      <c r="D4" s="2">
        <v>5.7</v>
      </c>
      <c r="E4" s="2">
        <v>7.58</v>
      </c>
      <c r="F4" s="2">
        <v>6.07</v>
      </c>
      <c r="G4" s="2">
        <v>6.44</v>
      </c>
      <c r="H4" s="2">
        <v>6.98</v>
      </c>
      <c r="I4" s="2">
        <v>84.93</v>
      </c>
      <c r="J4" s="2">
        <f>summary_time_series_models[[#This Row],[Surface]]-summary_time_series_models[[#This Row],[GLG_NAP]]</f>
        <v>1.5099999999999998</v>
      </c>
      <c r="K4" s="2">
        <f>summary_time_series_models[[#This Row],[Surface]]-summary_time_series_models[[#This Row],[GG_NAP]]</f>
        <v>1.1399999999999997</v>
      </c>
      <c r="L4" s="2">
        <f>summary_time_series_models[[#This Row],[Surface]]-summary_time_series_models[[#This Row],[GHG_NAP]]</f>
        <v>0.59999999999999964</v>
      </c>
    </row>
    <row r="5" spans="1:12" x14ac:dyDescent="0.3">
      <c r="A5" s="1" t="s">
        <v>10</v>
      </c>
      <c r="B5">
        <v>271800</v>
      </c>
      <c r="C5">
        <v>550740</v>
      </c>
      <c r="D5" s="2">
        <v>6.24</v>
      </c>
      <c r="E5" s="2">
        <v>8.19</v>
      </c>
      <c r="F5" s="2">
        <v>6.2</v>
      </c>
      <c r="G5" s="2">
        <v>6.48</v>
      </c>
      <c r="H5" s="2">
        <v>7.13</v>
      </c>
      <c r="I5" s="2">
        <v>81.98</v>
      </c>
      <c r="J5" s="2">
        <f>summary_time_series_models[[#This Row],[Surface]]-summary_time_series_models[[#This Row],[GLG_NAP]]</f>
        <v>1.9899999999999993</v>
      </c>
      <c r="K5" s="2">
        <f>summary_time_series_models[[#This Row],[Surface]]-summary_time_series_models[[#This Row],[GG_NAP]]</f>
        <v>1.7099999999999991</v>
      </c>
      <c r="L5" s="2">
        <f>summary_time_series_models[[#This Row],[Surface]]-summary_time_series_models[[#This Row],[GHG_NAP]]</f>
        <v>1.0599999999999996</v>
      </c>
    </row>
    <row r="6" spans="1:12" x14ac:dyDescent="0.3">
      <c r="A6" s="1" t="s">
        <v>9</v>
      </c>
      <c r="B6">
        <v>271750</v>
      </c>
      <c r="C6">
        <v>550500</v>
      </c>
      <c r="D6" s="2">
        <v>6.07</v>
      </c>
      <c r="E6" s="2">
        <v>7.51</v>
      </c>
      <c r="F6" s="2">
        <v>6.05</v>
      </c>
      <c r="G6" s="2">
        <v>6.67</v>
      </c>
      <c r="H6" s="2">
        <v>7.43</v>
      </c>
      <c r="I6" s="2">
        <v>77.87</v>
      </c>
      <c r="J6" s="2">
        <f>summary_time_series_models[[#This Row],[Surface]]-summary_time_series_models[[#This Row],[GLG_NAP]]</f>
        <v>1.46</v>
      </c>
      <c r="K6" s="2">
        <f>summary_time_series_models[[#This Row],[Surface]]-summary_time_series_models[[#This Row],[GG_NAP]]</f>
        <v>0.83999999999999986</v>
      </c>
      <c r="L6" s="2">
        <f>summary_time_series_models[[#This Row],[Surface]]-summary_time_series_models[[#This Row],[GHG_NAP]]</f>
        <v>8.0000000000000071E-2</v>
      </c>
    </row>
    <row r="7" spans="1:12" x14ac:dyDescent="0.3">
      <c r="A7" s="1" t="s">
        <v>13</v>
      </c>
      <c r="B7">
        <v>271760</v>
      </c>
      <c r="C7">
        <v>551375</v>
      </c>
      <c r="D7" s="2">
        <v>3.84</v>
      </c>
      <c r="E7" s="2">
        <v>8.77</v>
      </c>
      <c r="F7" s="2">
        <v>6.25</v>
      </c>
      <c r="G7" s="2">
        <v>6.51</v>
      </c>
      <c r="H7" s="2">
        <v>7.14</v>
      </c>
      <c r="I7" s="2">
        <v>76.819999999999993</v>
      </c>
      <c r="J7" s="2">
        <f>summary_time_series_models[[#This Row],[Surface]]-summary_time_series_models[[#This Row],[GLG_NAP]]</f>
        <v>2.5199999999999996</v>
      </c>
      <c r="K7" s="2">
        <f>summary_time_series_models[[#This Row],[Surface]]-summary_time_series_models[[#This Row],[GG_NAP]]</f>
        <v>2.2599999999999998</v>
      </c>
      <c r="L7" s="2">
        <f>summary_time_series_models[[#This Row],[Surface]]-summary_time_series_models[[#This Row],[GHG_NAP]]</f>
        <v>1.63</v>
      </c>
    </row>
    <row r="8" spans="1:12" x14ac:dyDescent="0.3">
      <c r="A8" s="1" t="s">
        <v>17</v>
      </c>
      <c r="B8">
        <v>271298</v>
      </c>
      <c r="C8">
        <v>552125</v>
      </c>
      <c r="D8" s="2">
        <v>5.96</v>
      </c>
      <c r="E8" s="2">
        <v>8.59</v>
      </c>
      <c r="F8" s="2">
        <v>6.11</v>
      </c>
      <c r="G8" s="2">
        <v>6.43</v>
      </c>
      <c r="H8" s="2">
        <v>7.12</v>
      </c>
      <c r="I8" s="2">
        <v>76.66</v>
      </c>
      <c r="J8" s="2">
        <f>summary_time_series_models[[#This Row],[Surface]]-summary_time_series_models[[#This Row],[GLG_NAP]]</f>
        <v>2.4799999999999995</v>
      </c>
      <c r="K8" s="2">
        <f>summary_time_series_models[[#This Row],[Surface]]-summary_time_series_models[[#This Row],[GG_NAP]]</f>
        <v>2.16</v>
      </c>
      <c r="L8" s="2">
        <f>summary_time_series_models[[#This Row],[Surface]]-summary_time_series_models[[#This Row],[GHG_NAP]]</f>
        <v>1.4699999999999998</v>
      </c>
    </row>
    <row r="9" spans="1:12" x14ac:dyDescent="0.3">
      <c r="A9" s="1" t="s">
        <v>12</v>
      </c>
      <c r="B9">
        <v>271760</v>
      </c>
      <c r="C9">
        <v>551375</v>
      </c>
      <c r="D9" s="2">
        <v>6.44</v>
      </c>
      <c r="E9" s="2">
        <v>8.77</v>
      </c>
      <c r="F9" s="2">
        <v>6.25</v>
      </c>
      <c r="G9" s="2">
        <v>6.52</v>
      </c>
      <c r="H9" s="2">
        <v>7.2</v>
      </c>
      <c r="I9" s="2">
        <v>75.010000000000005</v>
      </c>
      <c r="J9" s="2">
        <f>summary_time_series_models[[#This Row],[Surface]]-summary_time_series_models[[#This Row],[GLG_NAP]]</f>
        <v>2.5199999999999996</v>
      </c>
      <c r="K9" s="2">
        <f>summary_time_series_models[[#This Row],[Surface]]-summary_time_series_models[[#This Row],[GG_NAP]]</f>
        <v>2.25</v>
      </c>
      <c r="L9" s="2">
        <f>summary_time_series_models[[#This Row],[Surface]]-summary_time_series_models[[#This Row],[GHG_NAP]]</f>
        <v>1.5699999999999994</v>
      </c>
    </row>
    <row r="10" spans="1:12" x14ac:dyDescent="0.3">
      <c r="A10" s="1" t="s">
        <v>19</v>
      </c>
      <c r="B10">
        <v>272676</v>
      </c>
      <c r="C10">
        <v>552346</v>
      </c>
      <c r="D10" s="2">
        <v>4.8</v>
      </c>
      <c r="E10" s="2">
        <v>7.25</v>
      </c>
      <c r="F10" s="2">
        <v>5.9</v>
      </c>
      <c r="G10" s="2">
        <v>6.08</v>
      </c>
      <c r="H10" s="2">
        <v>6.4</v>
      </c>
      <c r="I10" s="2">
        <v>74.86</v>
      </c>
      <c r="J10" s="2">
        <f>summary_time_series_models[[#This Row],[Surface]]-summary_time_series_models[[#This Row],[GLG_NAP]]</f>
        <v>1.3499999999999996</v>
      </c>
      <c r="K10" s="2">
        <f>summary_time_series_models[[#This Row],[Surface]]-summary_time_series_models[[#This Row],[GG_NAP]]</f>
        <v>1.17</v>
      </c>
      <c r="L10" s="2">
        <f>summary_time_series_models[[#This Row],[Surface]]-summary_time_series_models[[#This Row],[GHG_NAP]]</f>
        <v>0.84999999999999964</v>
      </c>
    </row>
    <row r="11" spans="1:12" x14ac:dyDescent="0.3">
      <c r="A11" s="1" t="s">
        <v>7</v>
      </c>
      <c r="B11">
        <v>271200</v>
      </c>
      <c r="C11">
        <v>552000</v>
      </c>
      <c r="D11" s="2">
        <v>2.58</v>
      </c>
      <c r="E11" s="2">
        <v>8.09</v>
      </c>
      <c r="F11" s="2">
        <v>5.71</v>
      </c>
      <c r="G11" s="2">
        <v>6.17</v>
      </c>
      <c r="H11" s="2">
        <v>6.89</v>
      </c>
      <c r="I11" s="2">
        <v>71.77</v>
      </c>
      <c r="J11" s="2">
        <f>summary_time_series_models[[#This Row],[Surface]]-summary_time_series_models[[#This Row],[GLG_NAP]]</f>
        <v>2.38</v>
      </c>
      <c r="K11" s="2">
        <f>summary_time_series_models[[#This Row],[Surface]]-summary_time_series_models[[#This Row],[GG_NAP]]</f>
        <v>1.92</v>
      </c>
      <c r="L11" s="2">
        <f>summary_time_series_models[[#This Row],[Surface]]-summary_time_series_models[[#This Row],[GHG_NAP]]</f>
        <v>1.2000000000000002</v>
      </c>
    </row>
    <row r="12" spans="1:12" x14ac:dyDescent="0.3">
      <c r="A12" s="1" t="s">
        <v>15</v>
      </c>
      <c r="B12">
        <v>271700</v>
      </c>
      <c r="C12">
        <v>551460</v>
      </c>
      <c r="D12" s="2">
        <v>6.69</v>
      </c>
      <c r="E12" s="2">
        <v>8.48</v>
      </c>
      <c r="F12" s="2">
        <v>6.47</v>
      </c>
      <c r="G12" s="2">
        <v>7.28</v>
      </c>
      <c r="H12" s="2">
        <v>8.43</v>
      </c>
      <c r="I12" s="2">
        <v>70.650000000000006</v>
      </c>
      <c r="J12" s="2">
        <f>summary_time_series_models[[#This Row],[Surface]]-summary_time_series_models[[#This Row],[GLG_NAP]]</f>
        <v>2.0100000000000007</v>
      </c>
      <c r="K12" s="2">
        <f>summary_time_series_models[[#This Row],[Surface]]-summary_time_series_models[[#This Row],[GG_NAP]]</f>
        <v>1.2000000000000002</v>
      </c>
      <c r="L12" s="2">
        <f>summary_time_series_models[[#This Row],[Surface]]-summary_time_series_models[[#This Row],[GHG_NAP]]</f>
        <v>5.0000000000000711E-2</v>
      </c>
    </row>
    <row r="13" spans="1:12" x14ac:dyDescent="0.3">
      <c r="A13" s="1" t="s">
        <v>16</v>
      </c>
      <c r="B13">
        <v>271505</v>
      </c>
      <c r="C13">
        <v>550000</v>
      </c>
      <c r="D13" s="2">
        <v>0.61</v>
      </c>
      <c r="E13" s="2">
        <v>3.24</v>
      </c>
      <c r="F13" s="2">
        <v>2.46</v>
      </c>
      <c r="G13" s="2">
        <v>2.78</v>
      </c>
      <c r="H13" s="2">
        <v>3.06</v>
      </c>
      <c r="I13" s="2">
        <v>69.209999999999994</v>
      </c>
      <c r="J13" s="2">
        <f>summary_time_series_models[[#This Row],[Surface]]-summary_time_series_models[[#This Row],[GLG_NAP]]</f>
        <v>0.78000000000000025</v>
      </c>
      <c r="K13" s="2">
        <f>summary_time_series_models[[#This Row],[Surface]]-summary_time_series_models[[#This Row],[GG_NAP]]</f>
        <v>0.46000000000000041</v>
      </c>
      <c r="L13" s="2">
        <f>summary_time_series_models[[#This Row],[Surface]]-summary_time_series_models[[#This Row],[GHG_NAP]]</f>
        <v>0.18000000000000016</v>
      </c>
    </row>
    <row r="14" spans="1:12" x14ac:dyDescent="0.3">
      <c r="A14" s="1" t="s">
        <v>6</v>
      </c>
      <c r="B14">
        <v>272120</v>
      </c>
      <c r="C14">
        <v>551590</v>
      </c>
      <c r="D14" s="2">
        <v>2.27</v>
      </c>
      <c r="E14" s="2">
        <v>7.7</v>
      </c>
      <c r="F14" s="2">
        <v>5.95</v>
      </c>
      <c r="G14" s="2">
        <v>6.23</v>
      </c>
      <c r="H14" s="2">
        <v>6.68</v>
      </c>
      <c r="I14" s="2">
        <v>68.13</v>
      </c>
      <c r="J14" s="2">
        <f>summary_time_series_models[[#This Row],[Surface]]-summary_time_series_models[[#This Row],[GLG_NAP]]</f>
        <v>1.75</v>
      </c>
      <c r="K14" s="2">
        <f>summary_time_series_models[[#This Row],[Surface]]-summary_time_series_models[[#This Row],[GG_NAP]]</f>
        <v>1.4699999999999998</v>
      </c>
      <c r="L14" s="2">
        <f>summary_time_series_models[[#This Row],[Surface]]-summary_time_series_models[[#This Row],[GHG_NAP]]</f>
        <v>1.0200000000000005</v>
      </c>
    </row>
    <row r="15" spans="1:12" x14ac:dyDescent="0.3">
      <c r="A15" s="1" t="s">
        <v>14</v>
      </c>
      <c r="B15">
        <v>271700</v>
      </c>
      <c r="C15">
        <v>551460</v>
      </c>
      <c r="D15" s="2">
        <v>8.0500000000000007</v>
      </c>
      <c r="E15" s="2">
        <v>8.48</v>
      </c>
      <c r="F15" s="2">
        <v>8.1300000000000008</v>
      </c>
      <c r="G15" s="2">
        <v>8.39</v>
      </c>
      <c r="H15" s="2">
        <v>8.4499999999999993</v>
      </c>
      <c r="I15" s="2">
        <v>67.25</v>
      </c>
      <c r="J15" s="2">
        <f>summary_time_series_models[[#This Row],[Surface]]-summary_time_series_models[[#This Row],[GLG_NAP]]</f>
        <v>0.34999999999999964</v>
      </c>
      <c r="K15" s="2">
        <f>summary_time_series_models[[#This Row],[Surface]]-summary_time_series_models[[#This Row],[GG_NAP]]</f>
        <v>8.9999999999999858E-2</v>
      </c>
      <c r="L15" s="2">
        <f>summary_time_series_models[[#This Row],[Surface]]-summary_time_series_models[[#This Row],[GHG_NAP]]</f>
        <v>3.0000000000001137E-2</v>
      </c>
    </row>
    <row r="16" spans="1:12" x14ac:dyDescent="0.3">
      <c r="A16" s="1" t="s">
        <v>8</v>
      </c>
      <c r="B16">
        <v>271830</v>
      </c>
      <c r="C16">
        <v>552030</v>
      </c>
      <c r="D16" s="2">
        <v>6.2</v>
      </c>
      <c r="E16" s="2">
        <v>8.1300000000000008</v>
      </c>
      <c r="F16" s="2">
        <v>6.17</v>
      </c>
      <c r="G16" s="2">
        <v>6.48</v>
      </c>
      <c r="H16" s="2">
        <v>7.12</v>
      </c>
      <c r="I16" s="2">
        <v>64.56</v>
      </c>
      <c r="J16" s="2">
        <f>summary_time_series_models[[#This Row],[Surface]]-summary_time_series_models[[#This Row],[GLG_NAP]]</f>
        <v>1.9600000000000009</v>
      </c>
      <c r="K16" s="2">
        <f>summary_time_series_models[[#This Row],[Surface]]-summary_time_series_models[[#This Row],[GG_NAP]]</f>
        <v>1.6500000000000004</v>
      </c>
      <c r="L16" s="2">
        <f>summary_time_series_models[[#This Row],[Surface]]-summary_time_series_models[[#This Row],[GHG_NAP]]</f>
        <v>1.0100000000000007</v>
      </c>
    </row>
    <row r="17" spans="1:12" x14ac:dyDescent="0.3">
      <c r="A17" s="1" t="s">
        <v>11</v>
      </c>
      <c r="B17">
        <v>271760</v>
      </c>
      <c r="C17">
        <v>550600</v>
      </c>
      <c r="D17" s="2">
        <v>3.08</v>
      </c>
      <c r="E17" s="2">
        <v>6.93</v>
      </c>
      <c r="F17" s="2">
        <v>6.16</v>
      </c>
      <c r="G17" s="2">
        <v>6.35</v>
      </c>
      <c r="H17" s="2">
        <v>6.67</v>
      </c>
      <c r="I17" s="2">
        <v>51.7</v>
      </c>
      <c r="J17" s="2">
        <f>summary_time_series_models[[#This Row],[Surface]]-summary_time_series_models[[#This Row],[GLG_NAP]]</f>
        <v>0.76999999999999957</v>
      </c>
      <c r="K17" s="2">
        <f>summary_time_series_models[[#This Row],[Surface]]-summary_time_series_models[[#This Row],[GG_NAP]]</f>
        <v>0.58000000000000007</v>
      </c>
      <c r="L17" s="2">
        <f>summary_time_series_models[[#This Row],[Surface]]-summary_time_series_models[[#This Row],[GHG_NAP]]</f>
        <v>0.25999999999999979</v>
      </c>
    </row>
    <row r="18" spans="1:12" x14ac:dyDescent="0.3">
      <c r="A18" s="1" t="s">
        <v>18</v>
      </c>
      <c r="B18">
        <v>272952</v>
      </c>
      <c r="C18">
        <v>551939</v>
      </c>
      <c r="D18" s="2">
        <v>4.7</v>
      </c>
      <c r="E18" s="2">
        <v>6.26</v>
      </c>
      <c r="F18" s="2">
        <v>5.45</v>
      </c>
      <c r="G18" s="2">
        <v>5.94</v>
      </c>
      <c r="H18" s="2">
        <v>6.34</v>
      </c>
      <c r="I18" s="2">
        <v>49.01</v>
      </c>
      <c r="J18" s="2">
        <f>summary_time_series_models[[#This Row],[Surface]]-summary_time_series_models[[#This Row],[GLG_NAP]]</f>
        <v>0.80999999999999961</v>
      </c>
      <c r="K18" s="2">
        <f>summary_time_series_models[[#This Row],[Surface]]-summary_time_series_models[[#This Row],[GG_NAP]]</f>
        <v>0.3199999999999994</v>
      </c>
      <c r="L18" s="2">
        <f>summary_time_series_models[[#This Row],[Surface]]-summary_time_series_models[[#This Row],[GHG_NAP]]</f>
        <v>-8.0000000000000071E-2</v>
      </c>
    </row>
    <row r="19" spans="1:12" x14ac:dyDescent="0.3">
      <c r="A19" s="1"/>
    </row>
    <row r="20" spans="1:12" x14ac:dyDescent="0.3">
      <c r="A20" s="1"/>
    </row>
    <row r="21" spans="1:12" x14ac:dyDescent="0.3">
      <c r="A21" s="1"/>
    </row>
    <row r="22" spans="1:12" x14ac:dyDescent="0.3">
      <c r="A22" s="1"/>
    </row>
    <row r="23" spans="1:12" x14ac:dyDescent="0.3">
      <c r="A23" s="1"/>
    </row>
    <row r="24" spans="1:12" x14ac:dyDescent="0.3">
      <c r="A24" s="1"/>
    </row>
    <row r="25" spans="1:12" x14ac:dyDescent="0.3">
      <c r="A25" s="1"/>
    </row>
    <row r="26" spans="1:12" x14ac:dyDescent="0.3">
      <c r="A26" s="1"/>
    </row>
    <row r="27" spans="1:12" x14ac:dyDescent="0.3">
      <c r="A27" s="1"/>
    </row>
    <row r="28" spans="1:12" x14ac:dyDescent="0.3">
      <c r="A28" s="1"/>
    </row>
    <row r="29" spans="1:12" x14ac:dyDescent="0.3">
      <c r="A29" s="1"/>
    </row>
    <row r="30" spans="1:12" x14ac:dyDescent="0.3">
      <c r="A30" s="1"/>
    </row>
    <row r="31" spans="1:12" x14ac:dyDescent="0.3">
      <c r="A31" s="1"/>
    </row>
    <row r="32" spans="1:12" x14ac:dyDescent="0.3">
      <c r="A32" s="1"/>
    </row>
    <row r="33" spans="1:1" x14ac:dyDescent="0.3">
      <c r="A3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8D79-BCFF-4712-B7FD-E45E041729E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5AEA20-486B-4F40-B82E-FCDBE455E2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summary_time_series_models</vt:lpstr>
      <vt:lpstr>Blad1</vt:lpstr>
    </vt:vector>
  </TitlesOfParts>
  <Company>Blue Coded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Obergfell (ATKB)</dc:creator>
  <cp:lastModifiedBy>Christophe Obergfell (ATKB)</cp:lastModifiedBy>
  <dcterms:created xsi:type="dcterms:W3CDTF">2026-09-22T14:02:40Z</dcterms:created>
  <dcterms:modified xsi:type="dcterms:W3CDTF">2026-09-22T14:35:03Z</dcterms:modified>
</cp:coreProperties>
</file>